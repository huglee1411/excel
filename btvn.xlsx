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296ecf0a3303ab/Documents/"/>
    </mc:Choice>
  </mc:AlternateContent>
  <xr:revisionPtr revIDLastSave="1" documentId="8_{44E3A0EE-9EED-4675-8673-D511B45C9C7C}" xr6:coauthVersionLast="47" xr6:coauthVersionMax="47" xr10:uidLastSave="{78AEAFBA-EDDA-4BEA-A269-9C90A67F8193}"/>
  <bookViews>
    <workbookView xWindow="-108" yWindow="-108" windowWidth="23256" windowHeight="14616" activeTab="1" xr2:uid="{25B5A870-6BB5-496E-9CA4-9F12C7E249CA}"/>
  </bookViews>
  <sheets>
    <sheet name="đơn hàng" sheetId="1" r:id="rId1"/>
    <sheet name="kpi" sheetId="3" r:id="rId2"/>
    <sheet name="bảng giá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" i="1"/>
  <c r="B4" i="1"/>
  <c r="B2" i="1"/>
</calcChain>
</file>

<file path=xl/sharedStrings.xml><?xml version="1.0" encoding="utf-8"?>
<sst xmlns="http://schemas.openxmlformats.org/spreadsheetml/2006/main" count="17" uniqueCount="12">
  <si>
    <t>FM001</t>
  </si>
  <si>
    <t>FM002</t>
  </si>
  <si>
    <t>FM003</t>
  </si>
  <si>
    <t>Mã vận đơn</t>
  </si>
  <si>
    <t>Giá cước</t>
  </si>
  <si>
    <t>FM999</t>
  </si>
  <si>
    <t>Chỉ tiêu</t>
  </si>
  <si>
    <t>Kết quả</t>
  </si>
  <si>
    <t>Giao đúng hẹn</t>
  </si>
  <si>
    <t>Giao thất bại</t>
  </si>
  <si>
    <t>Thời gian xử lý đơn</t>
  </si>
  <si>
    <t>Hoàn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</si>
</sst>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  <charset val="163"/>
    </font>
    <font>
      <sz val="11"/>
      <color theme="1"/>
      <name val="Segoe UI"/>
      <family val="2"/>
      <charset val="163"/>
    </font>
    <font>
      <b/>
      <sz val="11"/>
      <color theme="1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Tỷ lệ giao đúng hẹn đạt 96%, vượt mục tiêu vận hành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kpi!$B$1</c:f>
              <c:strCache>
                <c:ptCount val="1"/>
                <c:pt idx="0">
                  <c:v>Kết quả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kpi!$A$2:$A$5</c:f>
              <c:strCache>
                <c:ptCount val="4"/>
                <c:pt idx="0">
                  <c:v>Giao đúng hẹn</c:v>
                </c:pt>
                <c:pt idx="1">
                  <c:v>Giao thất bại</c:v>
                </c:pt>
                <c:pt idx="2">
                  <c:v>Hoàn hàng</c:v>
                </c:pt>
                <c:pt idx="3">
                  <c:v>Thời gian xử lý đơn</c:v>
                </c:pt>
              </c:strCache>
            </c:strRef>
          </c:cat>
          <c:val>
            <c:numRef>
              <c:f>kpi!$B$2:$B$5</c:f>
              <c:numCache>
                <c:formatCode>General</c:formatCode>
                <c:ptCount val="4"/>
                <c:pt idx="0">
                  <c:v>96</c:v>
                </c:pt>
                <c:pt idx="1">
                  <c:v>4</c:v>
                </c:pt>
                <c:pt idx="2">
                  <c:v>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7-41DD-83A4-825B19719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5840799"/>
        <c:axId val="1585841759"/>
      </c:barChart>
      <c:catAx>
        <c:axId val="158584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41759"/>
        <c:crosses val="autoZero"/>
        <c:auto val="1"/>
        <c:lblAlgn val="ctr"/>
        <c:lblOffset val="100"/>
        <c:noMultiLvlLbl val="0"/>
      </c:catAx>
      <c:valAx>
        <c:axId val="158584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4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10</xdr:row>
      <xdr:rowOff>7620</xdr:rowOff>
    </xdr:from>
    <xdr:to>
      <xdr:col>15</xdr:col>
      <xdr:colOff>403860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E9C3F-F88E-F7AB-B0E3-B1C8A2105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DADE-EED3-489F-A72E-AF6FC6AAF12D}">
  <dimension ref="A1:C5"/>
  <sheetViews>
    <sheetView workbookViewId="0">
      <selection activeCell="B4" sqref="B4:B5"/>
    </sheetView>
  </sheetViews>
  <sheetFormatPr defaultRowHeight="14.4" x14ac:dyDescent="0.3"/>
  <sheetData>
    <row r="1" spans="1:3" ht="34.200000000000003" thickBot="1" x14ac:dyDescent="0.35">
      <c r="A1" s="3" t="s">
        <v>3</v>
      </c>
      <c r="B1" s="1" t="s">
        <v>4</v>
      </c>
      <c r="C1" s="1"/>
    </row>
    <row r="2" spans="1:3" x14ac:dyDescent="0.3">
      <c r="A2" t="s">
        <v>0</v>
      </c>
      <c r="B2">
        <f>IFERROR(VLOOKUP(A2,'bảng giá'!$A$2:$B$1000,2,FALSE),"Không tìm thấy")</f>
        <v>25000</v>
      </c>
    </row>
    <row r="3" spans="1:3" x14ac:dyDescent="0.3">
      <c r="A3" t="s">
        <v>1</v>
      </c>
      <c r="B3">
        <f>IFERROR(VLOOKUP(A3,'bảng giá'!$A$2:$B$1000,2,FALSE),"Không tìm thấy")</f>
        <v>32000</v>
      </c>
    </row>
    <row r="4" spans="1:3" x14ac:dyDescent="0.3">
      <c r="A4" t="s">
        <v>2</v>
      </c>
      <c r="B4">
        <f>IFERROR(VLOOKUP(A4,'bảng giá'!$A$2:$B$1000,2,FALSE),"Không tìm thấy")</f>
        <v>28000</v>
      </c>
    </row>
    <row r="5" spans="1:3" x14ac:dyDescent="0.3">
      <c r="A5" s="1" t="s">
        <v>5</v>
      </c>
      <c r="B5" t="str">
        <f>IFERROR(VLOOKUP(A5,'bảng giá'!$A$2:$B$1000,2,FALSE),"Không tìm thấy")</f>
        <v>Không tìm thấy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16AC-D047-489C-BF8D-19A4B452EB53}">
  <dimension ref="A1:C5"/>
  <sheetViews>
    <sheetView tabSelected="1" workbookViewId="0">
      <selection sqref="A1:B5"/>
    </sheetView>
  </sheetViews>
  <sheetFormatPr defaultRowHeight="14.4" x14ac:dyDescent="0.3"/>
  <sheetData>
    <row r="1" spans="1:3" ht="15" thickBot="1" x14ac:dyDescent="0.35">
      <c r="A1" s="1" t="s">
        <v>6</v>
      </c>
      <c r="B1" s="1" t="s">
        <v>7</v>
      </c>
    </row>
    <row r="2" spans="1:3" ht="17.399999999999999" thickBot="1" x14ac:dyDescent="0.35">
      <c r="A2" s="1" t="s">
        <v>8</v>
      </c>
      <c r="B2" s="2">
        <v>96</v>
      </c>
      <c r="C2" s="2"/>
    </row>
    <row r="3" spans="1:3" x14ac:dyDescent="0.3">
      <c r="A3" s="1" t="s">
        <v>9</v>
      </c>
      <c r="B3">
        <v>4</v>
      </c>
    </row>
    <row r="4" spans="1:3" x14ac:dyDescent="0.3">
      <c r="A4" s="1" t="s">
        <v>11</v>
      </c>
      <c r="B4">
        <v>2</v>
      </c>
    </row>
    <row r="5" spans="1:3" x14ac:dyDescent="0.3">
      <c r="A5" s="1" t="s">
        <v>10</v>
      </c>
      <c r="B5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845F-DAC8-4F89-8C21-399242A48961}">
  <dimension ref="A1:C4"/>
  <sheetViews>
    <sheetView workbookViewId="0">
      <selection activeCell="F24" sqref="F24"/>
    </sheetView>
  </sheetViews>
  <sheetFormatPr defaultRowHeight="14.4" x14ac:dyDescent="0.3"/>
  <sheetData>
    <row r="1" spans="1:3" x14ac:dyDescent="0.3">
      <c r="A1" s="1" t="s">
        <v>3</v>
      </c>
      <c r="B1" s="1" t="s">
        <v>4</v>
      </c>
    </row>
    <row r="2" spans="1:3" ht="15" thickBot="1" x14ac:dyDescent="0.35">
      <c r="A2" s="1" t="s">
        <v>0</v>
      </c>
      <c r="B2" s="1">
        <v>25000</v>
      </c>
    </row>
    <row r="3" spans="1:3" ht="17.399999999999999" thickBot="1" x14ac:dyDescent="0.35">
      <c r="A3" s="1" t="s">
        <v>1</v>
      </c>
      <c r="B3" s="2">
        <v>32000</v>
      </c>
      <c r="C3" s="2"/>
    </row>
    <row r="4" spans="1:3" x14ac:dyDescent="0.3">
      <c r="A4" s="1" t="s">
        <v>2</v>
      </c>
      <c r="B4" s="1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đơn hàng</vt:lpstr>
      <vt:lpstr>kpi</vt:lpstr>
      <vt:lpstr>bảng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le</dc:creator>
  <cp:lastModifiedBy>hung le</cp:lastModifiedBy>
  <dcterms:created xsi:type="dcterms:W3CDTF">2026-10-26T14:08:36Z</dcterms:created>
  <dcterms:modified xsi:type="dcterms:W3CDTF">2026-10-26T14:27:44Z</dcterms:modified>
</cp:coreProperties>
</file>